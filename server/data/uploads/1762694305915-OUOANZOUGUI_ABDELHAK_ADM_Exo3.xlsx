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78B369F-1517-4D68-8FCE-8D09010E0673}" xr6:coauthVersionLast="47" xr6:coauthVersionMax="47" xr10:uidLastSave="{00000000-0000-0000-0000-000000000000}"/>
  <bookViews>
    <workbookView xWindow="-113" yWindow="-113" windowWidth="24267" windowHeight="13023" xr2:uid="{1363423D-3E0B-42B7-8DEE-345634F41C6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7" i="1"/>
  <c r="I8" i="1"/>
  <c r="I9" i="1"/>
  <c r="I10" i="1"/>
  <c r="I11" i="1"/>
  <c r="I7" i="1"/>
</calcChain>
</file>

<file path=xl/sharedStrings.xml><?xml version="1.0" encoding="utf-8"?>
<sst xmlns="http://schemas.openxmlformats.org/spreadsheetml/2006/main" count="28" uniqueCount="21">
  <si>
    <t>Matière</t>
  </si>
  <si>
    <t>Ordonnancement</t>
  </si>
  <si>
    <t>Management</t>
  </si>
  <si>
    <t>Qualité</t>
  </si>
  <si>
    <t>Gestion de projet</t>
  </si>
  <si>
    <t>Anglais</t>
  </si>
  <si>
    <t>C1</t>
  </si>
  <si>
    <t>C2</t>
  </si>
  <si>
    <t>C3</t>
  </si>
  <si>
    <t>C4</t>
  </si>
  <si>
    <t>C5</t>
  </si>
  <si>
    <t>C6</t>
  </si>
  <si>
    <t>Coefficient</t>
  </si>
  <si>
    <t>WSM</t>
  </si>
  <si>
    <t xml:space="preserve">Q1. Quel est le meilleur candidat parmi ses cinq candidats par chacune des deux méthodes WSM et WPM ? </t>
  </si>
  <si>
    <t>WPM</t>
  </si>
  <si>
    <t>Pour WSM : C4 est le meilleur.</t>
  </si>
  <si>
    <t>Pour WPM : C5 est le meilleur.</t>
  </si>
  <si>
    <t>soit la note du C6 dans le cours management est NM6</t>
  </si>
  <si>
    <t xml:space="preserve">Q2. Quelle note minimum doit-il obtenir en « Management» pour que sa moyenne générale soit égale à 12? </t>
  </si>
  <si>
    <t xml:space="preserve">Il faut que NM6 soit superieur ou égale à 12.4 car le WSM=12 donc il faut juste trouver le NM6 par un calcule simple.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</si>
</sst>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1" fillId="0" borderId="1" xfId="0" applyFont="1" applyBorder="1"/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Fill="1" applyBorder="1"/>
    <xf numFmtId="0" fontId="0" fillId="0" borderId="0" xfId="0" applyAlignment="1">
      <alignment horizontal="left" wrapText="1"/>
    </xf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AF1B-39B1-459E-AA4A-85E3BE852C52}">
  <dimension ref="C5:J34"/>
  <sheetViews>
    <sheetView tabSelected="1" topLeftCell="A14" workbookViewId="0">
      <selection activeCell="C34" sqref="C34:H34"/>
    </sheetView>
  </sheetViews>
  <sheetFormatPr baseColWidth="10" defaultRowHeight="14.4" x14ac:dyDescent="0.25"/>
  <cols>
    <col min="3" max="8" width="16.19921875" customWidth="1"/>
    <col min="10" max="10" width="12.19921875" bestFit="1" customWidth="1"/>
  </cols>
  <sheetData>
    <row r="5" spans="3:10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7"/>
    </row>
    <row r="6" spans="3:10" x14ac:dyDescent="0.25">
      <c r="C6" s="2" t="s">
        <v>12</v>
      </c>
      <c r="D6" s="2">
        <v>4</v>
      </c>
      <c r="E6" s="2">
        <v>5</v>
      </c>
      <c r="F6" s="2">
        <v>3</v>
      </c>
      <c r="G6" s="2">
        <v>4</v>
      </c>
      <c r="H6" s="2">
        <v>2</v>
      </c>
      <c r="I6" s="3" t="s">
        <v>13</v>
      </c>
      <c r="J6" s="2" t="s">
        <v>15</v>
      </c>
    </row>
    <row r="7" spans="3:10" x14ac:dyDescent="0.25">
      <c r="C7" s="2" t="s">
        <v>6</v>
      </c>
      <c r="D7" s="1">
        <v>17</v>
      </c>
      <c r="E7" s="1">
        <v>9</v>
      </c>
      <c r="F7" s="1">
        <v>13</v>
      </c>
      <c r="G7" s="1">
        <v>11</v>
      </c>
      <c r="H7" s="1">
        <v>7</v>
      </c>
      <c r="I7" s="1">
        <f>SUMPRODUCT(D7:H7,$D$6:$H$6)/SUM($D$6:$H$6)</f>
        <v>11.666666666666666</v>
      </c>
      <c r="J7" s="1">
        <f>PRODUCT((D7/SUM($D$7:$D$11)^$D$6),(E7/SUM($E$7:$E$11)^$E$6), (F7/SUM($F$7:$F$11)^$F$6),(G7/SUM($G$7:$G$11)^$G$6),(H7/SUM($H$7:$H$11)^$H$6))</f>
        <v>1.2451289055966573E-27</v>
      </c>
    </row>
    <row r="8" spans="3:10" x14ac:dyDescent="0.25">
      <c r="C8" s="2" t="s">
        <v>7</v>
      </c>
      <c r="D8" s="1">
        <v>12</v>
      </c>
      <c r="E8" s="1">
        <v>13</v>
      </c>
      <c r="F8" s="1">
        <v>9</v>
      </c>
      <c r="G8" s="1">
        <v>15</v>
      </c>
      <c r="H8" s="1">
        <v>10</v>
      </c>
      <c r="I8" s="1">
        <f t="shared" ref="I8:I11" si="0">SUMPRODUCT(D8:H8,$D$6:$H$6)/SUM($D$6:$H$6)</f>
        <v>12.222222222222221</v>
      </c>
      <c r="J8" s="1">
        <f t="shared" ref="J8:J11" si="1">PRODUCT((D8/SUM($D$7:$D$11)^$D$6),(E8/SUM($E$7:$E$11)^$E$6), (F8/SUM($F$7:$F$11)^$F$6),(G8/SUM($G$7:$G$11)^$G$6),(H8/SUM($H$7:$H$11)^$H$6))</f>
        <v>1.7121711459694296E-27</v>
      </c>
    </row>
    <row r="9" spans="3:10" x14ac:dyDescent="0.25">
      <c r="C9" s="2" t="s">
        <v>8</v>
      </c>
      <c r="D9" s="1">
        <v>9</v>
      </c>
      <c r="E9" s="1">
        <v>15</v>
      </c>
      <c r="F9" s="1">
        <v>8</v>
      </c>
      <c r="G9" s="1">
        <v>12</v>
      </c>
      <c r="H9" s="1">
        <v>16</v>
      </c>
      <c r="I9" s="1">
        <f t="shared" si="0"/>
        <v>11.944444444444445</v>
      </c>
      <c r="J9" s="1">
        <f t="shared" si="1"/>
        <v>1.6858300514160529E-27</v>
      </c>
    </row>
    <row r="10" spans="3:10" x14ac:dyDescent="0.25">
      <c r="C10" s="4" t="s">
        <v>9</v>
      </c>
      <c r="D10" s="5">
        <v>15</v>
      </c>
      <c r="E10" s="5">
        <v>12</v>
      </c>
      <c r="F10" s="5">
        <v>14</v>
      </c>
      <c r="G10" s="5">
        <v>13</v>
      </c>
      <c r="H10" s="5">
        <v>14</v>
      </c>
      <c r="I10" s="5">
        <f t="shared" si="0"/>
        <v>13.444444444444445</v>
      </c>
      <c r="J10" s="1">
        <f t="shared" si="1"/>
        <v>3.7287282734445345E-27</v>
      </c>
    </row>
    <row r="11" spans="3:10" x14ac:dyDescent="0.25">
      <c r="C11" s="2" t="s">
        <v>10</v>
      </c>
      <c r="D11" s="1">
        <v>7</v>
      </c>
      <c r="E11" s="1">
        <v>16</v>
      </c>
      <c r="F11" s="1">
        <v>12</v>
      </c>
      <c r="G11" s="1">
        <v>10</v>
      </c>
      <c r="H11" s="1">
        <v>11</v>
      </c>
      <c r="I11" s="1">
        <f t="shared" si="0"/>
        <v>11.444444444444445</v>
      </c>
      <c r="J11" s="5">
        <f t="shared" si="1"/>
        <v>1.2019343885095934E-27</v>
      </c>
    </row>
    <row r="15" spans="3:10" x14ac:dyDescent="0.25">
      <c r="C15" s="6" t="s">
        <v>14</v>
      </c>
      <c r="D15" s="6"/>
      <c r="E15" s="6"/>
      <c r="F15" s="6"/>
      <c r="G15" s="6"/>
      <c r="H15" s="6"/>
      <c r="I15" s="6"/>
    </row>
    <row r="17" spans="3:9" x14ac:dyDescent="0.25">
      <c r="C17" s="12" t="s">
        <v>16</v>
      </c>
      <c r="D17" s="12"/>
      <c r="E17" s="12"/>
      <c r="F17" s="12"/>
      <c r="G17" s="12"/>
      <c r="H17" s="12"/>
    </row>
    <row r="19" spans="3:9" x14ac:dyDescent="0.25">
      <c r="C19" s="13" t="s">
        <v>17</v>
      </c>
      <c r="D19" s="13"/>
      <c r="E19" s="13"/>
      <c r="F19" s="13"/>
      <c r="G19" s="13"/>
      <c r="H19" s="13"/>
    </row>
    <row r="23" spans="3:9" x14ac:dyDescent="0.25">
      <c r="C23" s="2" t="s">
        <v>0</v>
      </c>
      <c r="D23" s="2" t="s">
        <v>1</v>
      </c>
      <c r="E23" s="2" t="s">
        <v>2</v>
      </c>
      <c r="F23" s="2" t="s">
        <v>3</v>
      </c>
      <c r="G23" s="2" t="s">
        <v>4</v>
      </c>
      <c r="H23" s="2" t="s">
        <v>5</v>
      </c>
    </row>
    <row r="24" spans="3:9" x14ac:dyDescent="0.25">
      <c r="C24" s="2" t="s">
        <v>12</v>
      </c>
      <c r="D24" s="2">
        <v>4</v>
      </c>
      <c r="E24" s="2">
        <v>5</v>
      </c>
      <c r="F24" s="2">
        <v>3</v>
      </c>
      <c r="G24" s="2">
        <v>4</v>
      </c>
      <c r="H24" s="2">
        <v>2</v>
      </c>
    </row>
    <row r="25" spans="3:9" x14ac:dyDescent="0.25">
      <c r="C25" s="2" t="s">
        <v>11</v>
      </c>
      <c r="D25" s="1">
        <v>16</v>
      </c>
      <c r="E25" s="5">
        <v>12.4</v>
      </c>
      <c r="F25" s="1">
        <v>8</v>
      </c>
      <c r="G25" s="1">
        <v>10</v>
      </c>
      <c r="H25" s="1">
        <v>13</v>
      </c>
    </row>
    <row r="27" spans="3:9" x14ac:dyDescent="0.25">
      <c r="C27" s="10"/>
    </row>
    <row r="29" spans="3:9" x14ac:dyDescent="0.25">
      <c r="C29" s="8" t="s">
        <v>18</v>
      </c>
      <c r="D29" s="8"/>
      <c r="E29" s="8"/>
      <c r="F29" s="8"/>
      <c r="G29" s="8"/>
      <c r="H29" s="8"/>
    </row>
    <row r="32" spans="3:9" x14ac:dyDescent="0.25">
      <c r="C32" s="11" t="s">
        <v>19</v>
      </c>
      <c r="D32" s="9"/>
      <c r="E32" s="9"/>
      <c r="F32" s="9"/>
      <c r="G32" s="9"/>
      <c r="H32" s="9"/>
      <c r="I32" s="9"/>
    </row>
    <row r="34" spans="3:8" x14ac:dyDescent="0.25">
      <c r="C34" s="13" t="s">
        <v>20</v>
      </c>
      <c r="D34" s="13"/>
      <c r="E34" s="13"/>
      <c r="F34" s="13"/>
      <c r="G34" s="13"/>
      <c r="H34" s="13"/>
    </row>
  </sheetData>
  <mergeCells count="6">
    <mergeCell ref="C15:I15"/>
    <mergeCell ref="C17:H17"/>
    <mergeCell ref="C19:H19"/>
    <mergeCell ref="C32:I32"/>
    <mergeCell ref="C34:H34"/>
    <mergeCell ref="C29:H2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Abdelhak Ouanzougui</dc:creator>
  <cp:lastModifiedBy>Abdelhak Ouanzougui</cp:lastModifiedBy>
  <cp:lastPrinted>2025-09-28T23:23:26Z</cp:lastPrinted>
  <dcterms:created xsi:type="dcterms:W3CDTF">2025-09-28T22:39:00Z</dcterms:created>
  <dcterms:modified xsi:type="dcterms:W3CDTF">2025-09-28T23:29:36Z</dcterms:modified>
</cp:coreProperties>
</file>